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estudo FN\"/>
    </mc:Choice>
  </mc:AlternateContent>
  <xr:revisionPtr revIDLastSave="0" documentId="13_ncr:1_{CEEFB7D5-4CCD-4300-ABBB-B4706AD1FBE0}" xr6:coauthVersionLast="47" xr6:coauthVersionMax="47" xr10:uidLastSave="{00000000-0000-0000-0000-000000000000}"/>
  <bookViews>
    <workbookView xWindow="-108" yWindow="-108" windowWidth="23256" windowHeight="13896" xr2:uid="{21595B40-B017-4BAA-9E40-1B14F133D7F8}"/>
  </bookViews>
  <sheets>
    <sheet name="Planilha1" sheetId="1" r:id="rId1"/>
    <sheet name="Planilha2" sheetId="2" r:id="rId2"/>
  </sheets>
  <definedNames>
    <definedName name="aporte">Planilha1!$D$17</definedName>
    <definedName name="qtd_anos">Planilha1!$D$18</definedName>
    <definedName name="rendimento_carteri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35" i="1"/>
  <c r="C36" i="1"/>
  <c r="C37" i="1"/>
  <c r="C38" i="1"/>
  <c r="C34" i="1"/>
  <c r="A15" i="2" l="1"/>
  <c r="A16" i="2"/>
  <c r="A17" i="2"/>
  <c r="A18" i="2"/>
  <c r="A19" i="2"/>
  <c r="A14" i="2"/>
  <c r="A9" i="2"/>
  <c r="A10" i="2"/>
  <c r="A11" i="2"/>
  <c r="A12" i="2"/>
  <c r="A13" i="2"/>
  <c r="A8" i="2"/>
  <c r="A3" i="2"/>
  <c r="A4" i="2"/>
  <c r="A5" i="2"/>
  <c r="A6" i="2"/>
  <c r="A7" i="2"/>
  <c r="A2" i="2"/>
  <c r="C31" i="1"/>
  <c r="D36" i="1" s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4" i="1" l="1"/>
  <c r="D39" i="1"/>
  <c r="D38" i="1"/>
  <c r="D37" i="1"/>
  <c r="D35" i="1"/>
  <c r="D40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<sst xmlns="http://schemas.openxmlformats.org/spreadsheetml/2006/main" count="69" uniqueCount="33">
  <si>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</si>
  <si>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</si>
  <si>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</si>
  <si>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</si>
  <si>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</si>
  <si>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</si>
  <si>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</si>
  <si>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</si>
  <si>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</si>
  <si>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</si>
  <si>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</si>
  <si>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</si>
  <si>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</si>
  <si>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</si>
  <si>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</si>
  <si>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CONFIGURAÇÕES</t>
  </si>
  <si>
    <t>Moderado</t>
  </si>
  <si>
    <t>Agressivo</t>
  </si>
  <si>
    <t>PERFIL</t>
  </si>
  <si>
    <t>VALOR A SER INVESTIDO POR MÊS</t>
  </si>
  <si>
    <t>TIPO DE FII</t>
  </si>
  <si>
    <t>PAPEL</t>
  </si>
  <si>
    <t>TIJOLO</t>
  </si>
  <si>
    <t>Percentual Sugerido</t>
  </si>
  <si>
    <t>Valores</t>
  </si>
  <si>
    <t>FOF's</t>
  </si>
  <si>
    <t>HÍBRIDOS</t>
  </si>
  <si>
    <t>DESENVOLVIMENTO</t>
  </si>
  <si>
    <t>HOTELARIAS</t>
  </si>
  <si>
    <t>Conservador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</si>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</sst>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5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5"/>
      <color theme="0"/>
      <name val="Calibri"/>
      <family val="2"/>
    </font>
    <font>
      <b/>
      <sz val="20"/>
      <color theme="0"/>
      <name val="Calibri"/>
      <family val="2"/>
    </font>
    <font>
      <b/>
      <sz val="11"/>
      <color rgb="FFCC6600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hair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hair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hair">
        <color theme="0" tint="-0.14996795556505021"/>
      </top>
      <bottom style="medium">
        <color indexed="64"/>
      </bottom>
      <diagonal/>
    </border>
    <border>
      <left style="medium">
        <color theme="0" tint="-0.14993743705557422"/>
      </left>
      <right style="medium">
        <color indexed="64"/>
      </right>
      <top style="medium">
        <color indexed="64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indexed="64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medium">
        <color auto="1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7" fillId="0" borderId="0" xfId="0" applyFont="1"/>
    <xf numFmtId="44" fontId="4" fillId="2" borderId="1" xfId="1" applyFont="1" applyFill="1" applyBorder="1" applyAlignment="1">
      <alignment horizontal="center" vertical="center"/>
    </xf>
    <xf numFmtId="44" fontId="4" fillId="2" borderId="2" xfId="1" applyFont="1" applyFill="1" applyBorder="1" applyAlignment="1">
      <alignment horizontal="center" vertical="center"/>
    </xf>
    <xf numFmtId="44" fontId="8" fillId="2" borderId="4" xfId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10" fontId="2" fillId="0" borderId="13" xfId="2" applyNumberFormat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23" xfId="1" applyNumberFormat="1" applyFont="1" applyBorder="1" applyAlignment="1">
      <alignment horizontal="center" vertical="center"/>
    </xf>
    <xf numFmtId="8" fontId="6" fillId="6" borderId="16" xfId="0" applyNumberFormat="1" applyFont="1" applyFill="1" applyBorder="1" applyAlignment="1">
      <alignment horizontal="center" vertical="center"/>
    </xf>
    <xf numFmtId="8" fontId="6" fillId="6" borderId="23" xfId="0" applyNumberFormat="1" applyFont="1" applyFill="1" applyBorder="1" applyAlignment="1">
      <alignment horizontal="center" vertical="center"/>
    </xf>
    <xf numFmtId="164" fontId="2" fillId="0" borderId="27" xfId="1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0" fontId="2" fillId="0" borderId="28" xfId="2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indent="3"/>
    </xf>
    <xf numFmtId="0" fontId="5" fillId="3" borderId="7" xfId="0" applyFont="1" applyFill="1" applyBorder="1" applyAlignment="1">
      <alignment horizontal="left" vertical="center" indent="3"/>
    </xf>
    <xf numFmtId="0" fontId="10" fillId="7" borderId="0" xfId="0" applyFont="1" applyFill="1"/>
    <xf numFmtId="0" fontId="11" fillId="8" borderId="0" xfId="0" applyFont="1" applyFill="1" applyAlignment="1">
      <alignment horizontal="center" vertical="center"/>
    </xf>
    <xf numFmtId="0" fontId="11" fillId="8" borderId="0" xfId="0" applyFont="1" applyFill="1"/>
    <xf numFmtId="0" fontId="6" fillId="6" borderId="0" xfId="0" applyFont="1" applyFill="1"/>
    <xf numFmtId="9" fontId="2" fillId="0" borderId="0" xfId="2" applyFon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9" fontId="2" fillId="0" borderId="0" xfId="2" applyFont="1" applyFill="1" applyAlignment="1">
      <alignment horizontal="center" vertical="center"/>
    </xf>
    <xf numFmtId="9" fontId="2" fillId="0" borderId="29" xfId="2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9" fontId="2" fillId="0" borderId="0" xfId="2" applyFont="1" applyFill="1" applyBorder="1" applyAlignment="1">
      <alignment horizontal="center" vertical="center"/>
    </xf>
    <xf numFmtId="0" fontId="0" fillId="0" borderId="29" xfId="0" applyBorder="1"/>
    <xf numFmtId="0" fontId="2" fillId="0" borderId="29" xfId="0" applyFont="1" applyBorder="1" applyAlignment="1">
      <alignment horizontal="center"/>
    </xf>
    <xf numFmtId="0" fontId="11" fillId="9" borderId="0" xfId="0" applyFont="1" applyFill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10" fillId="7" borderId="30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center"/>
    </xf>
    <xf numFmtId="44" fontId="9" fillId="4" borderId="20" xfId="1" applyFont="1" applyFill="1" applyBorder="1" applyAlignment="1">
      <alignment horizontal="center" vertical="center"/>
    </xf>
    <xf numFmtId="44" fontId="9" fillId="4" borderId="21" xfId="1" applyFont="1" applyFill="1" applyBorder="1" applyAlignment="1">
      <alignment horizontal="center" vertical="center"/>
    </xf>
    <xf numFmtId="44" fontId="9" fillId="4" borderId="22" xfId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 indent="3"/>
    </xf>
    <xf numFmtId="0" fontId="5" fillId="6" borderId="25" xfId="0" applyFont="1" applyFill="1" applyBorder="1" applyAlignment="1">
      <alignment horizontal="left" vertical="center" indent="3"/>
    </xf>
    <xf numFmtId="0" fontId="3" fillId="0" borderId="18" xfId="0" applyFont="1" applyBorder="1" applyAlignment="1">
      <alignment horizontal="left" vertical="center" indent="3"/>
    </xf>
    <xf numFmtId="0" fontId="3" fillId="0" borderId="24" xfId="0" applyFont="1" applyBorder="1" applyAlignment="1">
      <alignment horizontal="left" vertical="center" indent="3"/>
    </xf>
    <xf numFmtId="0" fontId="3" fillId="0" borderId="10" xfId="0" applyFont="1" applyBorder="1" applyAlignment="1">
      <alignment horizontal="left" vertical="center" indent="3"/>
    </xf>
    <xf numFmtId="0" fontId="3" fillId="0" borderId="25" xfId="0" applyFont="1" applyBorder="1" applyAlignment="1">
      <alignment horizontal="left" vertical="center" indent="3"/>
    </xf>
    <xf numFmtId="44" fontId="4" fillId="2" borderId="20" xfId="1" applyFont="1" applyFill="1" applyBorder="1" applyAlignment="1">
      <alignment horizontal="center" vertical="center"/>
    </xf>
    <xf numFmtId="44" fontId="4" fillId="2" borderId="21" xfId="1" applyFont="1" applyFill="1" applyBorder="1" applyAlignment="1">
      <alignment horizontal="center" vertical="center"/>
    </xf>
    <xf numFmtId="44" fontId="4" fillId="2" borderId="22" xfId="1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left" vertical="center" indent="3"/>
    </xf>
    <xf numFmtId="0" fontId="3" fillId="5" borderId="19" xfId="0" applyFont="1" applyFill="1" applyBorder="1" applyAlignment="1">
      <alignment horizontal="left" vertical="center" indent="3"/>
    </xf>
    <xf numFmtId="0" fontId="3" fillId="5" borderId="11" xfId="0" applyFont="1" applyFill="1" applyBorder="1" applyAlignment="1">
      <alignment horizontal="left" vertical="center" indent="3"/>
    </xf>
    <xf numFmtId="0" fontId="3" fillId="5" borderId="12" xfId="0" applyFont="1" applyFill="1" applyBorder="1" applyAlignment="1">
      <alignment horizontal="left" vertical="center" indent="3"/>
    </xf>
    <xf numFmtId="0" fontId="3" fillId="5" borderId="14" xfId="0" applyFont="1" applyFill="1" applyBorder="1" applyAlignment="1">
      <alignment horizontal="left" vertical="center" indent="3"/>
    </xf>
    <xf numFmtId="0" fontId="3" fillId="5" borderId="15" xfId="0" applyFont="1" applyFill="1" applyBorder="1" applyAlignment="1">
      <alignment horizontal="left" vertical="center" indent="3"/>
    </xf>
    <xf numFmtId="0" fontId="5" fillId="6" borderId="17" xfId="0" applyFont="1" applyFill="1" applyBorder="1" applyAlignment="1">
      <alignment horizontal="left" vertical="center" indent="3"/>
    </xf>
    <xf numFmtId="0" fontId="5" fillId="6" borderId="26" xfId="0" applyFont="1" applyFill="1" applyBorder="1" applyAlignment="1">
      <alignment horizontal="left" vertical="center" indent="3"/>
    </xf>
  </cellXfs>
  <cellStyles count="3">
    <cellStyle name="Moeda" xfId="1" builtinId="4"/>
    <cellStyle name="Normal" xfId="0" builtinId="0"/>
    <cellStyle name="Porcentagem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35-4E59-AE9E-5A04DEE5CEEC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35-4E59-AE9E-5A04DEE5CEEC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35-4E59-AE9E-5A04DEE5CEEC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35-4E59-AE9E-5A04DEE5CEEC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35-4E59-AE9E-5A04DEE5CEEC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35-4E59-AE9E-5A04DEE5CE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2-414E-B801-FF6FF9FB92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155862</xdr:colOff>
      <xdr:row>0</xdr:row>
      <xdr:rowOff>86676</xdr:rowOff>
    </xdr:from>
    <xdr:to>
      <xdr:col>3</xdr:col>
      <xdr:colOff>943841</xdr:colOff>
      <xdr:row>9</xdr:row>
      <xdr:rowOff>51955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569989-7955-BC42-1C97-AE10030F6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68" t="18328" r="-276" b="25140"/>
        <a:stretch>
          <a:fillRect/>
        </a:stretch>
      </xdr:blipFill>
      <xdr:spPr>
        <a:xfrm>
          <a:off x="155862" y="86676"/>
          <a:ext cx="5801593" cy="1601847"/>
        </a:xfrm>
        <a:prstGeom prst="rect">
          <a:avLst/>
        </a:prstGeom>
      </xdr:spPr>
    </xdr:pic>
    <xdr:clientData/>
  </xdr:twoCellAnchor>
  <xdr:twoCellAnchor>
    <xdr:from>
      <xdr:col>1</xdr:col>
      <xdr:colOff>51954</xdr:colOff>
      <xdr:row>40</xdr:row>
      <xdr:rowOff>117764</xdr:rowOff>
    </xdr:from>
    <xdr:to>
      <xdr:col>3</xdr:col>
      <xdr:colOff>865909</xdr:colOff>
      <xdr:row>55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F36ECD-2EAA-6E51-028B-CCC6464B1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86591</xdr:colOff>
      <xdr:row>29</xdr:row>
      <xdr:rowOff>43296</xdr:rowOff>
    </xdr:from>
    <xdr:to>
      <xdr:col>2</xdr:col>
      <xdr:colOff>337705</xdr:colOff>
      <xdr:row>29</xdr:row>
      <xdr:rowOff>173182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2DD12BD0-CB59-10D2-4703-97A9CF89F57C}"/>
            </a:ext>
          </a:extLst>
        </xdr:cNvPr>
        <xdr:cNvSpPr/>
      </xdr:nvSpPr>
      <xdr:spPr>
        <a:xfrm>
          <a:off x="3818659" y="6459682"/>
          <a:ext cx="251114" cy="129886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F05C1-4461-4A6D-9553-108E113994C9}" name="Tabela1" displayName="Tabela1" ref="A1:D19" totalsRowShown="0" headerRowDxfId="5" dataDxfId="4">
  <autoFilter ref="A1:D19" xr:uid="{1D1F05C1-4461-4A6D-9553-108E113994C9}"/>
  <tableColumns count="4">
    <tableColumn id="1" xr3:uid="{A4D9E139-9616-44EA-B199-C7FD769D673F}" name="CHAVE" dataDxfId="3">
      <calculatedColumnFormula>B2&amp;"-"&amp;C2</calculatedColumnFormula>
    </tableColumn>
    <tableColumn id="2" xr3:uid="{76E16043-D7A4-489C-AC16-AE6D49EEB3BF}" name="PERFIL" dataDxfId="2"/>
    <tableColumn id="3" xr3:uid="{3C708AD6-C0F7-46AB-B2A7-5264D221501B}" name="TIPO DE FII" dataDxfId="1"/>
    <tableColumn id="4" xr3:uid="{C656B158-CE02-46EB-92C9-44529C52BA0D}" name="%" dataDxfId="0" dataCellStyle="Porcentage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CED6-99F0-4F5F-8C58-B79A73698A95}">
  <dimension ref="A1:Q71"/>
  <sheetViews>
    <sheetView showGridLines="0" tabSelected="1" topLeftCell="A10" zoomScale="88" zoomScaleNormal="88" workbookViewId="0">
      <selection activeCell="D49" sqref="D49"/>
    </sheetView>
  </sheetViews>
  <sheetFormatPr defaultColWidth="0" defaultRowHeight="14.4" zeroHeight="1" x14ac:dyDescent="0.3"/>
  <cols>
    <col min="1" max="1" width="2.33203125" style="1" customWidth="1"/>
    <col min="2" max="2" width="52.109375" style="1" customWidth="1"/>
    <col min="3" max="3" width="18.6640625" style="1" bestFit="1" customWidth="1"/>
    <col min="4" max="4" width="14.33203125" style="1" bestFit="1" customWidth="1"/>
    <col min="5" max="5" width="2.33203125" style="1" customWidth="1"/>
    <col min="6" max="6" width="2.33203125" style="1" hidden="1" customWidth="1"/>
    <col min="7" max="7" width="25.44140625" style="1" hidden="1" customWidth="1"/>
    <col min="8" max="8" width="10.5546875" style="1" hidden="1" customWidth="1"/>
    <col min="9" max="9" width="2.33203125" style="1" hidden="1" customWidth="1"/>
    <col min="10" max="11" width="8.88671875" style="1" hidden="1" customWidth="1"/>
    <col min="12" max="12" width="3" style="1" hidden="1" customWidth="1"/>
    <col min="13" max="17" width="8.88671875" style="1" hidden="1" customWidth="1"/>
    <col min="18" max="18" width="0" style="1" hidden="1" customWidth="1"/>
    <col min="19" max="16384" width="0" style="1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/>
    <row r="10" spans="2:4" ht="15" thickBot="1" x14ac:dyDescent="0.35"/>
    <row r="11" spans="2:4" ht="26.4" thickBot="1" x14ac:dyDescent="0.35">
      <c r="B11" s="40" t="s">
        <v>15</v>
      </c>
      <c r="C11" s="41"/>
      <c r="D11" s="42"/>
    </row>
    <row r="12" spans="2:4" ht="16.2" thickBot="1" x14ac:dyDescent="0.35">
      <c r="B12" s="52" t="s">
        <v>13</v>
      </c>
      <c r="C12" s="53"/>
      <c r="D12" s="14">
        <v>2000</v>
      </c>
    </row>
    <row r="13" spans="2:4" ht="16.2" thickBot="1" x14ac:dyDescent="0.35">
      <c r="B13" s="54" t="s">
        <v>14</v>
      </c>
      <c r="C13" s="55"/>
      <c r="D13" s="12">
        <v>6.0000000000000001E-3</v>
      </c>
    </row>
    <row r="14" spans="2:4" ht="16.2" thickBot="1" x14ac:dyDescent="0.35">
      <c r="B14" s="56" t="s">
        <v>32</v>
      </c>
      <c r="C14" s="57"/>
      <c r="D14" s="13">
        <f>D12*30%</f>
        <v>600</v>
      </c>
    </row>
    <row r="15" spans="2:4" ht="15" thickBot="1" x14ac:dyDescent="0.35">
      <c r="D15" s="9"/>
    </row>
    <row r="16" spans="2:4" ht="27.6" customHeight="1" thickBot="1" x14ac:dyDescent="0.35">
      <c r="B16" s="49" t="s">
        <v>0</v>
      </c>
      <c r="C16" s="50"/>
      <c r="D16" s="51"/>
    </row>
    <row r="17" spans="1:12" ht="19.95" customHeight="1" thickBot="1" x14ac:dyDescent="0.35">
      <c r="B17" s="45" t="s">
        <v>1</v>
      </c>
      <c r="C17" s="46"/>
      <c r="D17" s="17">
        <v>200</v>
      </c>
    </row>
    <row r="18" spans="1:12" ht="19.95" customHeight="1" thickBot="1" x14ac:dyDescent="0.35">
      <c r="B18" s="47" t="s">
        <v>2</v>
      </c>
      <c r="C18" s="48"/>
      <c r="D18" s="18">
        <v>5</v>
      </c>
    </row>
    <row r="19" spans="1:12" ht="19.95" customHeight="1" thickBot="1" x14ac:dyDescent="0.35">
      <c r="B19" s="47" t="s">
        <v>3</v>
      </c>
      <c r="C19" s="48"/>
      <c r="D19" s="19">
        <v>1.0789999999999999E-2</v>
      </c>
    </row>
    <row r="20" spans="1:12" ht="19.95" customHeight="1" thickBot="1" x14ac:dyDescent="0.35">
      <c r="B20" s="43" t="s">
        <v>4</v>
      </c>
      <c r="C20" s="44"/>
      <c r="D20" s="16">
        <f>FV(taxa_mensal,qtd_anos*12,aporte*-1)</f>
        <v>16755.382799697527</v>
      </c>
    </row>
    <row r="21" spans="1:12" ht="19.95" customHeight="1" thickBot="1" x14ac:dyDescent="0.35">
      <c r="B21" s="58" t="s">
        <v>5</v>
      </c>
      <c r="C21" s="59"/>
      <c r="D21" s="15">
        <f>D20*$D$13</f>
        <v>100.53229679818516</v>
      </c>
    </row>
    <row r="22" spans="1:12" ht="15" thickBot="1" x14ac:dyDescent="0.35"/>
    <row r="23" spans="1:12" ht="33" thickBot="1" x14ac:dyDescent="0.35">
      <c r="B23" s="3" t="s">
        <v>6</v>
      </c>
      <c r="C23" s="4"/>
      <c r="D23" s="5" t="s">
        <v>12</v>
      </c>
    </row>
    <row r="24" spans="1:12" ht="16.2" thickBot="1" x14ac:dyDescent="0.35">
      <c r="A24" s="2">
        <v>2</v>
      </c>
      <c r="B24" s="20" t="s">
        <v>7</v>
      </c>
      <c r="C24" s="10">
        <f>FV($D$19,$A24*12,$D$17*-1)</f>
        <v>5445.5254595290435</v>
      </c>
      <c r="D24" s="6">
        <f>C24*rendimento_carteria</f>
        <v>32.673152757174265</v>
      </c>
      <c r="E24" s="2"/>
      <c r="F24" s="2"/>
      <c r="I24" s="2"/>
      <c r="L24" s="2">
        <v>2</v>
      </c>
    </row>
    <row r="25" spans="1:12" ht="16.2" thickBot="1" x14ac:dyDescent="0.35">
      <c r="A25" s="2">
        <v>5</v>
      </c>
      <c r="B25" s="20" t="s">
        <v>8</v>
      </c>
      <c r="C25" s="10">
        <f>FV($D$19,$A25*12,$D$17*-1)</f>
        <v>16755.382799697527</v>
      </c>
      <c r="D25" s="6">
        <f>C25*rendimento_carteria</f>
        <v>100.53229679818516</v>
      </c>
      <c r="E25" s="2"/>
      <c r="F25" s="2"/>
      <c r="I25" s="2"/>
      <c r="L25" s="2">
        <v>5</v>
      </c>
    </row>
    <row r="26" spans="1:12" ht="16.2" thickBot="1" x14ac:dyDescent="0.35">
      <c r="A26" s="2">
        <v>10</v>
      </c>
      <c r="B26" s="20" t="s">
        <v>9</v>
      </c>
      <c r="C26" s="10">
        <f>FV($D$19,$A26*12,$D$17*-1)</f>
        <v>48656.842506034438</v>
      </c>
      <c r="D26" s="6">
        <f>C26*rendimento_carteria</f>
        <v>291.94105503620665</v>
      </c>
      <c r="E26" s="2"/>
      <c r="F26" s="2"/>
      <c r="I26" s="2"/>
      <c r="L26" s="2">
        <v>10</v>
      </c>
    </row>
    <row r="27" spans="1:12" ht="16.2" thickBot="1" x14ac:dyDescent="0.35">
      <c r="A27" s="2">
        <v>20</v>
      </c>
      <c r="B27" s="20" t="s">
        <v>10</v>
      </c>
      <c r="C27" s="10">
        <f>FV($D$19,$A27*12,$D$17*-1)</f>
        <v>225039.68001941612</v>
      </c>
      <c r="D27" s="6">
        <f>C27*rendimento_carteria</f>
        <v>1350.2380801164968</v>
      </c>
      <c r="E27" s="2"/>
      <c r="F27" s="2"/>
      <c r="I27" s="2"/>
      <c r="L27" s="2">
        <v>20</v>
      </c>
    </row>
    <row r="28" spans="1:12" ht="16.2" thickBot="1" x14ac:dyDescent="0.35">
      <c r="A28" s="2">
        <v>30</v>
      </c>
      <c r="B28" s="21" t="s">
        <v>11</v>
      </c>
      <c r="C28" s="11">
        <f>FV($D$19,$A28*12,$D$17*-1)</f>
        <v>864433.93100094295</v>
      </c>
      <c r="D28" s="7">
        <f>C28*rendimento_carteria</f>
        <v>5186.6035860056581</v>
      </c>
      <c r="E28" s="2"/>
      <c r="F28" s="2"/>
      <c r="I28" s="2"/>
      <c r="L28" s="2">
        <v>30</v>
      </c>
    </row>
    <row r="29" spans="1:12" ht="15" thickBot="1" x14ac:dyDescent="0.35"/>
    <row r="30" spans="1:12" ht="15" thickBot="1" x14ac:dyDescent="0.35">
      <c r="B30" s="22" t="s">
        <v>18</v>
      </c>
      <c r="C30" s="37" t="s">
        <v>16</v>
      </c>
      <c r="D30" s="38"/>
    </row>
    <row r="31" spans="1:12" x14ac:dyDescent="0.3">
      <c r="B31" s="25" t="s">
        <v>19</v>
      </c>
      <c r="C31" s="39">
        <f>aporte</f>
        <v>200</v>
      </c>
      <c r="D31" s="39"/>
    </row>
    <row r="32" spans="1:12" x14ac:dyDescent="0.3">
      <c r="C32"/>
    </row>
    <row r="33" spans="2:4" x14ac:dyDescent="0.3">
      <c r="B33" s="23" t="s">
        <v>20</v>
      </c>
      <c r="C33" s="23" t="s">
        <v>23</v>
      </c>
      <c r="D33" s="23" t="s">
        <v>24</v>
      </c>
    </row>
    <row r="34" spans="2:4" x14ac:dyDescent="0.3">
      <c r="B34" s="8" t="s">
        <v>21</v>
      </c>
      <c r="C34" s="26">
        <f>_xlfn.XLOOKUP($C$30&amp;"-"&amp;B34,Tabela1[CHAVE],Tabela1[%])</f>
        <v>0.32</v>
      </c>
      <c r="D34" s="27">
        <f>$C$31*C34</f>
        <v>64</v>
      </c>
    </row>
    <row r="35" spans="2:4" x14ac:dyDescent="0.3">
      <c r="B35" s="8" t="s">
        <v>22</v>
      </c>
      <c r="C35" s="26">
        <f>_xlfn.XLOOKUP($C$30&amp;"-"&amp;B35,Tabela1[CHAVE],Tabela1[%])</f>
        <v>0.35</v>
      </c>
      <c r="D35" s="27">
        <f t="shared" ref="D35:D39" si="0">$C$31*C35</f>
        <v>70</v>
      </c>
    </row>
    <row r="36" spans="2:4" x14ac:dyDescent="0.3">
      <c r="B36" s="8" t="s">
        <v>26</v>
      </c>
      <c r="C36" s="26">
        <f>_xlfn.XLOOKUP($C$30&amp;"-"&amp;B36,Tabela1[CHAVE],Tabela1[%])</f>
        <v>0.08</v>
      </c>
      <c r="D36" s="27">
        <f t="shared" si="0"/>
        <v>16</v>
      </c>
    </row>
    <row r="37" spans="2:4" x14ac:dyDescent="0.3">
      <c r="B37" s="8" t="s">
        <v>25</v>
      </c>
      <c r="C37" s="26">
        <f>_xlfn.XLOOKUP($C$30&amp;"-"&amp;B37,Tabela1[CHAVE],Tabela1[%])</f>
        <v>0.05</v>
      </c>
      <c r="D37" s="27">
        <f t="shared" si="0"/>
        <v>10</v>
      </c>
    </row>
    <row r="38" spans="2:4" x14ac:dyDescent="0.3">
      <c r="B38" s="8" t="s">
        <v>27</v>
      </c>
      <c r="C38" s="26">
        <f>_xlfn.XLOOKUP($C$30&amp;"-"&amp;B38,Tabela1[CHAVE],Tabela1[%])</f>
        <v>0.1</v>
      </c>
      <c r="D38" s="27">
        <f t="shared" si="0"/>
        <v>20</v>
      </c>
    </row>
    <row r="39" spans="2:4" x14ac:dyDescent="0.3">
      <c r="B39" s="8" t="s">
        <v>28</v>
      </c>
      <c r="C39" s="26">
        <f>_xlfn.XLOOKUP($C$30&amp;"-"&amp;B39,Tabela1[CHAVE],Tabela1[%])</f>
        <v>0.1</v>
      </c>
      <c r="D39" s="27">
        <f t="shared" si="0"/>
        <v>20</v>
      </c>
    </row>
    <row r="40" spans="2:4" x14ac:dyDescent="0.3">
      <c r="B40" s="23"/>
      <c r="C40" s="24"/>
      <c r="D40" s="36">
        <f>SUM(D34:D39)</f>
        <v>200</v>
      </c>
    </row>
    <row r="41" spans="2:4" x14ac:dyDescent="0.3">
      <c r="B41" s="8"/>
    </row>
    <row r="42" spans="2:4" x14ac:dyDescent="0.3">
      <c r="B42" s="8"/>
    </row>
    <row r="43" spans="2:4" x14ac:dyDescent="0.3">
      <c r="B43" s="8"/>
    </row>
    <row r="44" spans="2:4" x14ac:dyDescent="0.3"/>
    <row r="45" spans="2:4" x14ac:dyDescent="0.3"/>
    <row r="46" spans="2:4" x14ac:dyDescent="0.3"/>
    <row r="47" spans="2:4" x14ac:dyDescent="0.3"/>
    <row r="48" spans="2:4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hidden="1" x14ac:dyDescent="0.3"/>
    <row r="59" s="1" customFormat="1" hidden="1" x14ac:dyDescent="0.3"/>
    <row r="60" s="1" customFormat="1" hidden="1" x14ac:dyDescent="0.3"/>
    <row r="61" s="1" customFormat="1" hidden="1" x14ac:dyDescent="0.3"/>
    <row r="62" s="1" customFormat="1" hidden="1" x14ac:dyDescent="0.3"/>
    <row r="63" s="1" customFormat="1" hidden="1" x14ac:dyDescent="0.3"/>
    <row r="64" s="1" customFormat="1" hidden="1" x14ac:dyDescent="0.3"/>
    <row r="65" s="1" customFormat="1" hidden="1" x14ac:dyDescent="0.3"/>
    <row r="66" s="1" customFormat="1" hidden="1" x14ac:dyDescent="0.3"/>
    <row r="67" s="1" customFormat="1" hidden="1" x14ac:dyDescent="0.3"/>
    <row r="68" s="1" customFormat="1" hidden="1" x14ac:dyDescent="0.3"/>
    <row r="69" s="1" customFormat="1" hidden="1" x14ac:dyDescent="0.3"/>
    <row r="70" s="1" customFormat="1" hidden="1" x14ac:dyDescent="0.3"/>
    <row r="71" s="1" customFormat="1" hidden="1" x14ac:dyDescent="0.3"/>
  </sheetData>
  <mergeCells count="12">
    <mergeCell ref="C30:D30"/>
    <mergeCell ref="C31:D31"/>
    <mergeCell ref="B11:D11"/>
    <mergeCell ref="B20:C20"/>
    <mergeCell ref="B17:C17"/>
    <mergeCell ref="B18:C18"/>
    <mergeCell ref="B19:C19"/>
    <mergeCell ref="B16:D16"/>
    <mergeCell ref="B12:C12"/>
    <mergeCell ref="B13:C13"/>
    <mergeCell ref="B14:C14"/>
    <mergeCell ref="B21:C21"/>
  </mergeCells>
  <dataValidations count="1">
    <dataValidation type="list" allowBlank="1" showInputMessage="1" showErrorMessage="1" promptTitle="Perfil" prompt="Selecionar Perfil de Investidor" sqref="C30:D30" xr:uid="{A6BA4749-059F-447B-B3C9-975E2ADF728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8EB6-300B-4C42-AD74-1F9FF71C356F}">
  <dimension ref="A1:D19"/>
  <sheetViews>
    <sheetView showGridLines="0" workbookViewId="0">
      <selection activeCell="D20" sqref="D20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8" bestFit="1" customWidth="1"/>
  </cols>
  <sheetData>
    <row r="1" spans="1:4" x14ac:dyDescent="0.3">
      <c r="A1" s="35" t="s">
        <v>31</v>
      </c>
      <c r="B1" s="35" t="s">
        <v>18</v>
      </c>
      <c r="C1" s="35" t="s">
        <v>20</v>
      </c>
      <c r="D1" s="35" t="s">
        <v>30</v>
      </c>
    </row>
    <row r="2" spans="1:4" x14ac:dyDescent="0.3">
      <c r="A2" t="str">
        <f>B2&amp;"-"&amp;C2</f>
        <v>Conservador-PAPEL</v>
      </c>
      <c r="B2" t="s">
        <v>29</v>
      </c>
      <c r="C2" s="8" t="s">
        <v>21</v>
      </c>
      <c r="D2" s="28">
        <v>0.3</v>
      </c>
    </row>
    <row r="3" spans="1:4" x14ac:dyDescent="0.3">
      <c r="A3" t="str">
        <f t="shared" ref="A3:A19" si="0">B3&amp;"-"&amp;C3</f>
        <v>Conservador-TIJOLO</v>
      </c>
      <c r="B3" t="s">
        <v>29</v>
      </c>
      <c r="C3" s="8" t="s">
        <v>22</v>
      </c>
      <c r="D3" s="28">
        <v>0.5</v>
      </c>
    </row>
    <row r="4" spans="1:4" x14ac:dyDescent="0.3">
      <c r="A4" t="str">
        <f t="shared" si="0"/>
        <v>Conservador-HÍBRIDOS</v>
      </c>
      <c r="B4" t="s">
        <v>29</v>
      </c>
      <c r="C4" s="8" t="s">
        <v>26</v>
      </c>
      <c r="D4" s="28">
        <v>0.1</v>
      </c>
    </row>
    <row r="5" spans="1:4" x14ac:dyDescent="0.3">
      <c r="A5" t="str">
        <f t="shared" si="0"/>
        <v>Conservador-FOF's</v>
      </c>
      <c r="B5" t="s">
        <v>29</v>
      </c>
      <c r="C5" s="8" t="s">
        <v>25</v>
      </c>
      <c r="D5" s="28">
        <v>0.1</v>
      </c>
    </row>
    <row r="6" spans="1:4" x14ac:dyDescent="0.3">
      <c r="A6" t="str">
        <f t="shared" si="0"/>
        <v>Conservador-DESENVOLVIMENTO</v>
      </c>
      <c r="B6" t="s">
        <v>29</v>
      </c>
      <c r="C6" s="8" t="s">
        <v>27</v>
      </c>
      <c r="D6" s="28">
        <v>0</v>
      </c>
    </row>
    <row r="7" spans="1:4" ht="15" thickBot="1" x14ac:dyDescent="0.35">
      <c r="A7" t="str">
        <f t="shared" si="0"/>
        <v>Conservador-HOTELARIAS</v>
      </c>
      <c r="B7" t="s">
        <v>29</v>
      </c>
      <c r="C7" s="8" t="s">
        <v>28</v>
      </c>
      <c r="D7" s="29">
        <v>0</v>
      </c>
    </row>
    <row r="8" spans="1:4" x14ac:dyDescent="0.3">
      <c r="A8" s="30" t="str">
        <f t="shared" si="0"/>
        <v>Moderado-PAPEL</v>
      </c>
      <c r="B8" s="30" t="s">
        <v>16</v>
      </c>
      <c r="C8" s="31" t="s">
        <v>21</v>
      </c>
      <c r="D8" s="28">
        <v>0.32</v>
      </c>
    </row>
    <row r="9" spans="1:4" x14ac:dyDescent="0.3">
      <c r="A9" t="str">
        <f t="shared" si="0"/>
        <v>Moderado-TIJOLO</v>
      </c>
      <c r="B9" t="s">
        <v>16</v>
      </c>
      <c r="C9" s="8" t="s">
        <v>22</v>
      </c>
      <c r="D9" s="28">
        <v>0.35</v>
      </c>
    </row>
    <row r="10" spans="1:4" x14ac:dyDescent="0.3">
      <c r="A10" t="str">
        <f t="shared" si="0"/>
        <v>Moderado-HÍBRIDOS</v>
      </c>
      <c r="B10" t="s">
        <v>16</v>
      </c>
      <c r="C10" s="8" t="s">
        <v>26</v>
      </c>
      <c r="D10" s="28">
        <v>0.08</v>
      </c>
    </row>
    <row r="11" spans="1:4" x14ac:dyDescent="0.3">
      <c r="A11" t="str">
        <f t="shared" si="0"/>
        <v>Moderado-FOF's</v>
      </c>
      <c r="B11" t="s">
        <v>16</v>
      </c>
      <c r="C11" s="8" t="s">
        <v>25</v>
      </c>
      <c r="D11" s="28">
        <v>0.05</v>
      </c>
    </row>
    <row r="12" spans="1:4" x14ac:dyDescent="0.3">
      <c r="A12" t="str">
        <f t="shared" si="0"/>
        <v>Moderado-DESENVOLVIMENTO</v>
      </c>
      <c r="B12" t="s">
        <v>16</v>
      </c>
      <c r="C12" s="8" t="s">
        <v>27</v>
      </c>
      <c r="D12" s="32">
        <v>0.1</v>
      </c>
    </row>
    <row r="13" spans="1:4" ht="15" thickBot="1" x14ac:dyDescent="0.35">
      <c r="A13" s="33" t="str">
        <f t="shared" si="0"/>
        <v>Moderado-HOTELARIAS</v>
      </c>
      <c r="B13" s="33" t="s">
        <v>16</v>
      </c>
      <c r="C13" s="34" t="s">
        <v>28</v>
      </c>
      <c r="D13" s="29">
        <v>0.1</v>
      </c>
    </row>
    <row r="14" spans="1:4" x14ac:dyDescent="0.3">
      <c r="A14" t="str">
        <f t="shared" si="0"/>
        <v>Agressivo-PAPEL</v>
      </c>
      <c r="B14" t="s">
        <v>17</v>
      </c>
      <c r="C14" s="8" t="s">
        <v>21</v>
      </c>
      <c r="D14" s="28">
        <v>0.5</v>
      </c>
    </row>
    <row r="15" spans="1:4" x14ac:dyDescent="0.3">
      <c r="A15" t="str">
        <f t="shared" si="0"/>
        <v>Agressivo-TIJOLO</v>
      </c>
      <c r="B15" t="s">
        <v>17</v>
      </c>
      <c r="C15" s="8" t="s">
        <v>22</v>
      </c>
      <c r="D15" s="28">
        <v>0.1</v>
      </c>
    </row>
    <row r="16" spans="1:4" x14ac:dyDescent="0.3">
      <c r="A16" t="str">
        <f t="shared" si="0"/>
        <v>Agressivo-HÍBRIDOS</v>
      </c>
      <c r="B16" t="s">
        <v>17</v>
      </c>
      <c r="C16" s="8" t="s">
        <v>26</v>
      </c>
      <c r="D16" s="28">
        <v>0.05</v>
      </c>
    </row>
    <row r="17" spans="1:4" x14ac:dyDescent="0.3">
      <c r="A17" t="str">
        <f t="shared" si="0"/>
        <v>Agressivo-FOF's</v>
      </c>
      <c r="B17" t="s">
        <v>17</v>
      </c>
      <c r="C17" s="8" t="s">
        <v>25</v>
      </c>
      <c r="D17" s="28">
        <v>0.05</v>
      </c>
    </row>
    <row r="18" spans="1:4" x14ac:dyDescent="0.3">
      <c r="A18" t="str">
        <f t="shared" si="0"/>
        <v>Agressivo-DESENVOLVIMENTO</v>
      </c>
      <c r="B18" t="s">
        <v>17</v>
      </c>
      <c r="C18" s="8" t="s">
        <v>27</v>
      </c>
      <c r="D18" s="28">
        <v>0.2</v>
      </c>
    </row>
    <row r="19" spans="1:4" x14ac:dyDescent="0.3">
      <c r="A19" t="str">
        <f t="shared" si="0"/>
        <v>Agressivo-HOTELARIAS</v>
      </c>
      <c r="B19" t="s">
        <v>17</v>
      </c>
      <c r="C19" s="8" t="s">
        <v>28</v>
      </c>
      <c r="D19" s="28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qtd_anos</vt:lpstr>
      <vt:lpstr>rendimento_carteria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Nascimento, Fernanda Bizerra</dc:creator>
  <cp:lastModifiedBy>Nascimento, Fernanda Bizerra</cp:lastModifiedBy>
  <dcterms:created xsi:type="dcterms:W3CDTF">2026-10-12T19:49:06Z</dcterms:created>
  <dcterms:modified xsi:type="dcterms:W3CDTF">2026-10-14T00:19:02Z</dcterms:modified>
</cp:coreProperties>
</file>